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530" windowHeight="14424"/>
  </bookViews>
  <sheets>
    <sheet name="Dorila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<sst xmlns="http://schemas.openxmlformats.org/spreadsheetml/2006/main" count="158" uniqueCount="147">
  <si>
    <t>Dori nomi</t>
  </si>
  <si>
    <t>O'lchami</t>
  </si>
  <si>
    <t>Soni</t>
  </si>
  <si>
    <t>1 dona narxi</t>
  </si>
  <si>
    <t>Umumiy narxi</t>
  </si>
  <si>
    <t>Пульмоксол</t>
  </si>
  <si>
    <t>150 mg</t>
  </si>
  <si>
    <t>Синупрет</t>
  </si>
  <si>
    <t>100 mg</t>
  </si>
  <si>
    <t>Клавы</t>
  </si>
  <si>
    <t>20 mg</t>
  </si>
  <si>
    <t>Кламак</t>
  </si>
  <si>
    <t>400 mg</t>
  </si>
  <si>
    <t>Амексиклав</t>
  </si>
  <si>
    <t>Амоксициллин</t>
  </si>
  <si>
    <t>Азитромицин</t>
  </si>
  <si>
    <t>Амлодипин</t>
  </si>
  <si>
    <t>Глюквенк</t>
  </si>
  <si>
    <t>Кванадекс</t>
  </si>
  <si>
    <t>Цитофлавин</t>
  </si>
  <si>
    <t>Цереброзин</t>
  </si>
  <si>
    <t>Гепамес</t>
  </si>
  <si>
    <t>Цитамел</t>
  </si>
  <si>
    <t>Гепамед</t>
  </si>
  <si>
    <t>Гептрал</t>
  </si>
  <si>
    <t>Джетепар</t>
  </si>
  <si>
    <t>Ксафрон</t>
  </si>
  <si>
    <t>Блокум</t>
  </si>
  <si>
    <t>Блокарт</t>
  </si>
  <si>
    <t>Нейромидин</t>
  </si>
  <si>
    <t>5 mg</t>
  </si>
  <si>
    <t>15 mg</t>
  </si>
  <si>
    <t xml:space="preserve">Церебромизин </t>
  </si>
  <si>
    <t>Нивалин</t>
  </si>
  <si>
    <t xml:space="preserve">Меропенем </t>
  </si>
  <si>
    <t>Акридоферон</t>
  </si>
  <si>
    <t>Бетаспан Депо</t>
  </si>
  <si>
    <t>Нероблок</t>
  </si>
  <si>
    <t>Ацикловир</t>
  </si>
  <si>
    <t>Прокацин</t>
  </si>
  <si>
    <t>Меркацин</t>
  </si>
  <si>
    <t>Сефоперазон</t>
  </si>
  <si>
    <t>Циклоферон</t>
  </si>
  <si>
    <t>Контривен</t>
  </si>
  <si>
    <t>Ампилек</t>
  </si>
  <si>
    <t>Дуоцеф</t>
  </si>
  <si>
    <t>Абилот 1.5</t>
  </si>
  <si>
    <t>Амписал</t>
  </si>
  <si>
    <t>Грасид-С</t>
  </si>
  <si>
    <t>Никозон-С</t>
  </si>
  <si>
    <t>Мэр эуфиллин</t>
  </si>
  <si>
    <t>Кальция глюконат</t>
  </si>
  <si>
    <t>5мг</t>
  </si>
  <si>
    <t>100мг</t>
  </si>
  <si>
    <t>Глюкоза</t>
  </si>
  <si>
    <t>Рибокин</t>
  </si>
  <si>
    <t>10мл</t>
  </si>
  <si>
    <t>Гентамицин</t>
  </si>
  <si>
    <t>2мл</t>
  </si>
  <si>
    <t>Дексаметазон</t>
  </si>
  <si>
    <t>1мл</t>
  </si>
  <si>
    <t>Эуфиллин</t>
  </si>
  <si>
    <t>Кальция Глюконат-С</t>
  </si>
  <si>
    <t xml:space="preserve">Кальция глюконат </t>
  </si>
  <si>
    <t>Преднизолон</t>
  </si>
  <si>
    <t>Рибоксин</t>
  </si>
  <si>
    <t>2мг</t>
  </si>
  <si>
    <t>руссия</t>
  </si>
  <si>
    <t xml:space="preserve">Дексаметазон </t>
  </si>
  <si>
    <t xml:space="preserve">дексаметазон </t>
  </si>
  <si>
    <t xml:space="preserve">Синупрет </t>
  </si>
  <si>
    <t>Летфиксим</t>
  </si>
  <si>
    <t>Кларанта</t>
  </si>
  <si>
    <t xml:space="preserve">Инноклав </t>
  </si>
  <si>
    <t>375мг</t>
  </si>
  <si>
    <t>Кламок</t>
  </si>
  <si>
    <t>Флутинекс</t>
  </si>
  <si>
    <t>Инноклав</t>
  </si>
  <si>
    <t>1000мг</t>
  </si>
  <si>
    <t>625мг</t>
  </si>
  <si>
    <t>Нафтизин</t>
  </si>
  <si>
    <t>Зeфексал</t>
  </si>
  <si>
    <t>терфалин</t>
  </si>
  <si>
    <t>250 мг</t>
  </si>
  <si>
    <t>Тонзилгон</t>
  </si>
  <si>
    <t>пипетка</t>
  </si>
  <si>
    <t>борная кислота</t>
  </si>
  <si>
    <t>флюдар</t>
  </si>
  <si>
    <t>50 мг</t>
  </si>
  <si>
    <t>сунипран</t>
  </si>
  <si>
    <t>Флуконазол</t>
  </si>
  <si>
    <t>100 м</t>
  </si>
  <si>
    <t>50 м</t>
  </si>
  <si>
    <t>тонзингон</t>
  </si>
  <si>
    <t>250м</t>
  </si>
  <si>
    <t>теконазол</t>
  </si>
  <si>
    <t>Зефексал</t>
  </si>
  <si>
    <t>120 м</t>
  </si>
  <si>
    <t>Лоратадин</t>
  </si>
  <si>
    <t>Фармазолин</t>
  </si>
  <si>
    <t>Цефексол</t>
  </si>
  <si>
    <t>200 мг</t>
  </si>
  <si>
    <t>100 мг</t>
  </si>
  <si>
    <t>Хиконцил</t>
  </si>
  <si>
    <t>фунистатин</t>
  </si>
  <si>
    <t>Дерон</t>
  </si>
  <si>
    <t>линкас</t>
  </si>
  <si>
    <t>Гербион</t>
  </si>
  <si>
    <t>бронхолитин</t>
  </si>
  <si>
    <t>Бромгексин</t>
  </si>
  <si>
    <t>Амброксол</t>
  </si>
  <si>
    <t>Интеллан</t>
  </si>
  <si>
    <t>кальций хлорид</t>
  </si>
  <si>
    <t>натрия тиосульфат</t>
  </si>
  <si>
    <t>Кавинтон</t>
  </si>
  <si>
    <t>Т-Лайф</t>
  </si>
  <si>
    <t>демотон</t>
  </si>
  <si>
    <t>кокарнит</t>
  </si>
  <si>
    <t>Милгамма</t>
  </si>
  <si>
    <t>Мер В Комплекс</t>
  </si>
  <si>
    <t>Демотон</t>
  </si>
  <si>
    <t>нано аскорбинова</t>
  </si>
  <si>
    <t>Кокарбоксилаза</t>
  </si>
  <si>
    <t>кокарбоксилазы</t>
  </si>
  <si>
    <t>Пиридоксина</t>
  </si>
  <si>
    <t>Витамин-Б1</t>
  </si>
  <si>
    <t>Бопралгин</t>
  </si>
  <si>
    <t>Спазмалгон</t>
  </si>
  <si>
    <t>Мер Ношбен</t>
  </si>
  <si>
    <t>Дротаверин</t>
  </si>
  <si>
    <t>Аналгин</t>
  </si>
  <si>
    <t>Токоферола</t>
  </si>
  <si>
    <t>Нош-Па</t>
  </si>
  <si>
    <t>Димедрол</t>
  </si>
  <si>
    <t>натрий хлор</t>
  </si>
  <si>
    <t>витамин B12</t>
  </si>
  <si>
    <t>витамин B1</t>
  </si>
  <si>
    <t>лефлодоза</t>
  </si>
  <si>
    <t>офлодекс</t>
  </si>
  <si>
    <t>Инфулган</t>
  </si>
  <si>
    <t>Футсис</t>
  </si>
  <si>
    <t>Трагил</t>
  </si>
  <si>
    <t>Факсроз</t>
  </si>
  <si>
    <t>Викасол</t>
  </si>
  <si>
    <t>Ферсинол</t>
  </si>
  <si>
    <t>Феркард</t>
  </si>
  <si>
    <t>Фертек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</si>
</sst>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#\ ##0"/>
  </numFmts>
  <fonts count="22">
    <font>
      <sz val="11"/>
      <name val="Calibri"/>
      <charset val="134"/>
    </font>
    <font>
      <b/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/>
    <xf numFmtId="0" fontId="0" fillId="0" borderId="0" xfId="0" applyAlignment="1">
      <alignment vertical="center" wrapText="1"/>
    </xf>
    <xf numFmtId="180" fontId="0" fillId="0" borderId="0" xfId="0" applyNumberFormat="1">
      <alignment vertic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3"/>
  <sheetViews>
    <sheetView tabSelected="1" topLeftCell="A145" workbookViewId="0">
      <selection activeCell="E184" sqref="E184"/>
    </sheetView>
  </sheetViews>
  <sheetFormatPr defaultColWidth="10" defaultRowHeight="14.6" outlineLevelCol="4"/>
  <cols>
    <col min="1" max="1" width="17" customWidth="1"/>
    <col min="2" max="2" width="13" customWidth="1"/>
    <col min="3" max="3" width="9" customWidth="1"/>
    <col min="4" max="5" width="17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4</v>
      </c>
      <c r="D2">
        <v>36000</v>
      </c>
      <c r="E2">
        <f t="shared" ref="E2:E65" si="0">+C2*D2</f>
        <v>144000</v>
      </c>
    </row>
    <row r="3" spans="1:5">
      <c r="A3" t="s">
        <v>7</v>
      </c>
      <c r="B3" t="s">
        <v>8</v>
      </c>
      <c r="C3">
        <v>2</v>
      </c>
      <c r="D3">
        <v>105000</v>
      </c>
      <c r="E3">
        <f t="shared" si="0"/>
        <v>210000</v>
      </c>
    </row>
    <row r="4" spans="1:5">
      <c r="A4" t="s">
        <v>9</v>
      </c>
      <c r="B4" t="s">
        <v>10</v>
      </c>
      <c r="C4">
        <v>5</v>
      </c>
      <c r="D4">
        <v>108000</v>
      </c>
      <c r="E4">
        <f t="shared" si="0"/>
        <v>540000</v>
      </c>
    </row>
    <row r="5" spans="1:5">
      <c r="A5" t="s">
        <v>11</v>
      </c>
      <c r="B5" t="s">
        <v>12</v>
      </c>
      <c r="C5">
        <v>5</v>
      </c>
      <c r="D5">
        <v>62000</v>
      </c>
      <c r="E5">
        <f t="shared" si="0"/>
        <v>310000</v>
      </c>
    </row>
    <row r="6" spans="1:5">
      <c r="A6" t="s">
        <v>13</v>
      </c>
      <c r="C6">
        <v>5</v>
      </c>
      <c r="D6">
        <v>55000</v>
      </c>
      <c r="E6">
        <f t="shared" si="0"/>
        <v>275000</v>
      </c>
    </row>
    <row r="7" spans="1:5">
      <c r="A7" t="s">
        <v>14</v>
      </c>
      <c r="C7">
        <v>6</v>
      </c>
      <c r="D7">
        <v>10000</v>
      </c>
      <c r="E7">
        <f t="shared" si="0"/>
        <v>60000</v>
      </c>
    </row>
    <row r="8" spans="1:5">
      <c r="A8" t="s">
        <v>15</v>
      </c>
      <c r="C8">
        <v>4</v>
      </c>
      <c r="D8">
        <v>12000</v>
      </c>
      <c r="E8">
        <f t="shared" si="0"/>
        <v>48000</v>
      </c>
    </row>
    <row r="9" spans="1:5">
      <c r="A9" t="s">
        <v>16</v>
      </c>
      <c r="C9">
        <v>3</v>
      </c>
      <c r="D9">
        <v>10000</v>
      </c>
      <c r="E9">
        <f t="shared" si="0"/>
        <v>30000</v>
      </c>
    </row>
    <row r="10" spans="1:5">
      <c r="A10" t="s">
        <v>17</v>
      </c>
      <c r="C10">
        <v>50</v>
      </c>
      <c r="D10">
        <v>4600</v>
      </c>
      <c r="E10">
        <f t="shared" si="0"/>
        <v>230000</v>
      </c>
    </row>
    <row r="11" spans="1:5">
      <c r="A11" t="s">
        <v>18</v>
      </c>
      <c r="C11">
        <v>5</v>
      </c>
      <c r="D11">
        <v>80000</v>
      </c>
      <c r="E11">
        <f t="shared" si="0"/>
        <v>400000</v>
      </c>
    </row>
    <row r="12" spans="1:5">
      <c r="A12" t="s">
        <v>19</v>
      </c>
      <c r="C12">
        <v>4</v>
      </c>
      <c r="D12">
        <v>42000</v>
      </c>
      <c r="E12">
        <f t="shared" si="0"/>
        <v>168000</v>
      </c>
    </row>
    <row r="13" spans="1:5">
      <c r="A13" t="s">
        <v>20</v>
      </c>
      <c r="C13">
        <v>6</v>
      </c>
      <c r="D13">
        <v>5000</v>
      </c>
      <c r="E13">
        <f t="shared" si="0"/>
        <v>30000</v>
      </c>
    </row>
    <row r="14" spans="1:5">
      <c r="A14" t="s">
        <v>21</v>
      </c>
      <c r="C14">
        <v>9</v>
      </c>
      <c r="D14">
        <v>22000</v>
      </c>
      <c r="E14">
        <f t="shared" si="0"/>
        <v>198000</v>
      </c>
    </row>
    <row r="15" spans="1:5">
      <c r="A15" t="s">
        <v>22</v>
      </c>
      <c r="C15">
        <v>9</v>
      </c>
      <c r="D15">
        <v>40000</v>
      </c>
      <c r="E15">
        <f t="shared" si="0"/>
        <v>360000</v>
      </c>
    </row>
    <row r="16" spans="1:5">
      <c r="A16" t="s">
        <v>23</v>
      </c>
      <c r="C16">
        <v>8</v>
      </c>
      <c r="D16">
        <v>85000</v>
      </c>
      <c r="E16">
        <f t="shared" si="0"/>
        <v>680000</v>
      </c>
    </row>
    <row r="17" spans="1:5">
      <c r="A17" t="s">
        <v>24</v>
      </c>
      <c r="C17">
        <v>2</v>
      </c>
      <c r="D17">
        <v>110000</v>
      </c>
      <c r="E17">
        <f t="shared" si="0"/>
        <v>220000</v>
      </c>
    </row>
    <row r="18" spans="1:5">
      <c r="A18" t="s">
        <v>25</v>
      </c>
      <c r="C18">
        <v>13</v>
      </c>
      <c r="D18">
        <v>68000</v>
      </c>
      <c r="E18">
        <f t="shared" si="0"/>
        <v>884000</v>
      </c>
    </row>
    <row r="19" spans="1:5">
      <c r="A19" t="s">
        <v>26</v>
      </c>
      <c r="C19">
        <v>4</v>
      </c>
      <c r="D19">
        <v>155000</v>
      </c>
      <c r="E19">
        <f t="shared" si="0"/>
        <v>620000</v>
      </c>
    </row>
    <row r="20" spans="1:5">
      <c r="A20" t="s">
        <v>27</v>
      </c>
      <c r="C20">
        <v>3</v>
      </c>
      <c r="D20">
        <v>110000</v>
      </c>
      <c r="E20">
        <f t="shared" si="0"/>
        <v>330000</v>
      </c>
    </row>
    <row r="21" spans="1:5">
      <c r="A21" t="s">
        <v>28</v>
      </c>
      <c r="C21">
        <v>5</v>
      </c>
      <c r="D21">
        <v>90000</v>
      </c>
      <c r="E21">
        <f t="shared" si="0"/>
        <v>450000</v>
      </c>
    </row>
    <row r="22" spans="1:5">
      <c r="A22" t="s">
        <v>29</v>
      </c>
      <c r="B22" t="s">
        <v>30</v>
      </c>
      <c r="C22">
        <v>10</v>
      </c>
      <c r="D22">
        <v>20500</v>
      </c>
      <c r="E22">
        <f t="shared" si="0"/>
        <v>205000</v>
      </c>
    </row>
    <row r="23" spans="1:5">
      <c r="A23" t="s">
        <v>29</v>
      </c>
      <c r="B23" t="s">
        <v>31</v>
      </c>
      <c r="C23">
        <v>9</v>
      </c>
      <c r="D23">
        <v>32000</v>
      </c>
      <c r="E23">
        <f t="shared" si="0"/>
        <v>288000</v>
      </c>
    </row>
    <row r="24" spans="1:5">
      <c r="A24" t="s">
        <v>32</v>
      </c>
      <c r="B24">
        <v>10</v>
      </c>
      <c r="C24">
        <v>8</v>
      </c>
      <c r="D24">
        <v>71000</v>
      </c>
      <c r="E24">
        <f t="shared" si="0"/>
        <v>568000</v>
      </c>
    </row>
    <row r="25" spans="1:5">
      <c r="A25" t="s">
        <v>32</v>
      </c>
      <c r="B25">
        <v>20</v>
      </c>
      <c r="C25">
        <v>3</v>
      </c>
      <c r="D25" s="1">
        <v>130000</v>
      </c>
      <c r="E25">
        <f t="shared" si="0"/>
        <v>390000</v>
      </c>
    </row>
    <row r="26" spans="1:5">
      <c r="A26" t="s">
        <v>32</v>
      </c>
      <c r="B26">
        <v>2</v>
      </c>
      <c r="C26">
        <v>24</v>
      </c>
      <c r="D26">
        <v>28000</v>
      </c>
      <c r="E26">
        <f t="shared" si="0"/>
        <v>672000</v>
      </c>
    </row>
    <row r="27" spans="1:5">
      <c r="A27" t="s">
        <v>33</v>
      </c>
      <c r="C27">
        <v>17</v>
      </c>
      <c r="D27">
        <v>23500</v>
      </c>
      <c r="E27">
        <f t="shared" si="0"/>
        <v>399500</v>
      </c>
    </row>
    <row r="28" spans="1:5">
      <c r="A28" t="s">
        <v>34</v>
      </c>
      <c r="C28">
        <v>2</v>
      </c>
      <c r="D28">
        <v>50000</v>
      </c>
      <c r="E28">
        <f t="shared" si="0"/>
        <v>100000</v>
      </c>
    </row>
    <row r="29" spans="1:5">
      <c r="A29" t="s">
        <v>35</v>
      </c>
      <c r="C29">
        <v>4</v>
      </c>
      <c r="D29">
        <v>34000</v>
      </c>
      <c r="E29">
        <f t="shared" si="0"/>
        <v>136000</v>
      </c>
    </row>
    <row r="30" spans="1:5">
      <c r="A30" t="s">
        <v>36</v>
      </c>
      <c r="C30">
        <v>4</v>
      </c>
      <c r="D30">
        <v>49000</v>
      </c>
      <c r="E30">
        <f t="shared" si="0"/>
        <v>196000</v>
      </c>
    </row>
    <row r="31" spans="1:5">
      <c r="A31" t="s">
        <v>37</v>
      </c>
      <c r="C31">
        <v>3</v>
      </c>
      <c r="D31">
        <v>70000</v>
      </c>
      <c r="E31">
        <f t="shared" si="0"/>
        <v>210000</v>
      </c>
    </row>
    <row r="32" spans="1:5">
      <c r="A32" t="s">
        <v>38</v>
      </c>
      <c r="C32">
        <v>3</v>
      </c>
      <c r="D32">
        <v>85000</v>
      </c>
      <c r="E32">
        <f t="shared" si="0"/>
        <v>255000</v>
      </c>
    </row>
    <row r="33" spans="1:5">
      <c r="A33" t="s">
        <v>39</v>
      </c>
      <c r="C33">
        <v>3</v>
      </c>
      <c r="D33">
        <v>32000</v>
      </c>
      <c r="E33">
        <f t="shared" si="0"/>
        <v>96000</v>
      </c>
    </row>
    <row r="34" spans="1:5">
      <c r="A34" t="s">
        <v>40</v>
      </c>
      <c r="C34">
        <v>10</v>
      </c>
      <c r="D34">
        <v>45000</v>
      </c>
      <c r="E34">
        <f t="shared" si="0"/>
        <v>450000</v>
      </c>
    </row>
    <row r="35" spans="1:5">
      <c r="A35" t="s">
        <v>41</v>
      </c>
      <c r="C35">
        <v>5</v>
      </c>
      <c r="D35">
        <v>180000</v>
      </c>
      <c r="E35">
        <f t="shared" si="0"/>
        <v>900000</v>
      </c>
    </row>
    <row r="36" spans="1:5">
      <c r="A36" t="s">
        <v>42</v>
      </c>
      <c r="C36" s="2">
        <f>SUM(2+5+5+5+5+5)</f>
        <v>27</v>
      </c>
      <c r="D36">
        <v>29000</v>
      </c>
      <c r="E36">
        <f t="shared" si="0"/>
        <v>783000</v>
      </c>
    </row>
    <row r="37" spans="1:5">
      <c r="A37" t="s">
        <v>43</v>
      </c>
      <c r="C37">
        <v>16</v>
      </c>
      <c r="D37">
        <v>17000</v>
      </c>
      <c r="E37">
        <f t="shared" si="0"/>
        <v>272000</v>
      </c>
    </row>
    <row r="38" spans="1:5">
      <c r="A38" t="s">
        <v>44</v>
      </c>
      <c r="C38">
        <v>25</v>
      </c>
      <c r="D38">
        <v>27000</v>
      </c>
      <c r="E38">
        <f t="shared" si="0"/>
        <v>675000</v>
      </c>
    </row>
    <row r="39" spans="1:5">
      <c r="A39" t="s">
        <v>45</v>
      </c>
      <c r="C39">
        <v>14</v>
      </c>
      <c r="D39">
        <v>60000</v>
      </c>
      <c r="E39">
        <f t="shared" si="0"/>
        <v>840000</v>
      </c>
    </row>
    <row r="40" spans="1:5">
      <c r="A40" t="s">
        <v>46</v>
      </c>
      <c r="C40">
        <v>13</v>
      </c>
      <c r="D40">
        <v>60000</v>
      </c>
      <c r="E40">
        <f t="shared" si="0"/>
        <v>780000</v>
      </c>
    </row>
    <row r="41" spans="1:5">
      <c r="A41" t="s">
        <v>47</v>
      </c>
      <c r="C41">
        <v>6</v>
      </c>
      <c r="D41">
        <v>55000</v>
      </c>
      <c r="E41">
        <f t="shared" si="0"/>
        <v>330000</v>
      </c>
    </row>
    <row r="42" spans="1:5">
      <c r="A42" t="s">
        <v>48</v>
      </c>
      <c r="C42">
        <v>10</v>
      </c>
      <c r="D42">
        <v>22000</v>
      </c>
      <c r="E42">
        <f t="shared" si="0"/>
        <v>220000</v>
      </c>
    </row>
    <row r="43" spans="1:5">
      <c r="A43" t="s">
        <v>49</v>
      </c>
      <c r="C43">
        <v>38</v>
      </c>
      <c r="D43">
        <v>22000</v>
      </c>
      <c r="E43">
        <f t="shared" si="0"/>
        <v>836000</v>
      </c>
    </row>
    <row r="44" spans="1:5">
      <c r="A44" t="s">
        <v>50</v>
      </c>
      <c r="C44">
        <v>2</v>
      </c>
      <c r="D44">
        <v>50000</v>
      </c>
      <c r="E44">
        <f t="shared" si="0"/>
        <v>100000</v>
      </c>
    </row>
    <row r="45" spans="1:5">
      <c r="A45" t="s">
        <v>51</v>
      </c>
      <c r="B45" t="s">
        <v>52</v>
      </c>
      <c r="C45">
        <f>SUM(12*5+3)</f>
        <v>63</v>
      </c>
      <c r="D45">
        <v>500</v>
      </c>
      <c r="E45">
        <f t="shared" si="0"/>
        <v>31500</v>
      </c>
    </row>
    <row r="46" spans="1:5">
      <c r="A46" t="s">
        <v>51</v>
      </c>
      <c r="B46" t="s">
        <v>53</v>
      </c>
      <c r="C46">
        <v>7</v>
      </c>
      <c r="D46">
        <v>1500</v>
      </c>
      <c r="E46">
        <f t="shared" si="0"/>
        <v>10500</v>
      </c>
    </row>
    <row r="47" spans="1:5">
      <c r="A47" t="s">
        <v>54</v>
      </c>
      <c r="B47" t="s">
        <v>52</v>
      </c>
      <c r="C47">
        <v>24</v>
      </c>
      <c r="D47">
        <v>1000</v>
      </c>
      <c r="E47">
        <f t="shared" si="0"/>
        <v>24000</v>
      </c>
    </row>
    <row r="48" spans="1:5">
      <c r="A48" t="s">
        <v>55</v>
      </c>
      <c r="B48" t="s">
        <v>56</v>
      </c>
      <c r="C48">
        <v>8</v>
      </c>
      <c r="D48">
        <v>1500</v>
      </c>
      <c r="E48">
        <f t="shared" si="0"/>
        <v>12000</v>
      </c>
    </row>
    <row r="49" spans="1:5">
      <c r="A49" t="s">
        <v>57</v>
      </c>
      <c r="B49" t="s">
        <v>58</v>
      </c>
      <c r="C49">
        <v>4</v>
      </c>
      <c r="D49">
        <v>700</v>
      </c>
      <c r="E49">
        <f t="shared" si="0"/>
        <v>2800</v>
      </c>
    </row>
    <row r="50" spans="1:5">
      <c r="A50" t="s">
        <v>59</v>
      </c>
      <c r="B50" t="s">
        <v>60</v>
      </c>
      <c r="C50">
        <v>6</v>
      </c>
      <c r="D50">
        <v>1600</v>
      </c>
      <c r="E50">
        <f t="shared" si="0"/>
        <v>9600</v>
      </c>
    </row>
    <row r="51" spans="1:5">
      <c r="A51" t="s">
        <v>61</v>
      </c>
      <c r="C51">
        <f>SUM(50+(9*5))</f>
        <v>95</v>
      </c>
      <c r="D51">
        <v>1000</v>
      </c>
      <c r="E51">
        <f t="shared" si="0"/>
        <v>95000</v>
      </c>
    </row>
    <row r="52" spans="1:5">
      <c r="E52">
        <f t="shared" si="0"/>
        <v>0</v>
      </c>
    </row>
    <row r="53" spans="1:5">
      <c r="A53" t="s">
        <v>62</v>
      </c>
      <c r="B53" t="s">
        <v>56</v>
      </c>
      <c r="C53">
        <v>27</v>
      </c>
      <c r="D53">
        <v>2000</v>
      </c>
      <c r="E53">
        <f t="shared" si="0"/>
        <v>54000</v>
      </c>
    </row>
    <row r="54" spans="1:5">
      <c r="A54" t="s">
        <v>63</v>
      </c>
      <c r="C54">
        <v>14</v>
      </c>
      <c r="D54">
        <v>1000</v>
      </c>
      <c r="E54">
        <f t="shared" si="0"/>
        <v>14000</v>
      </c>
    </row>
    <row r="55" spans="1:5">
      <c r="A55" t="s">
        <v>54</v>
      </c>
      <c r="C55">
        <v>78</v>
      </c>
      <c r="D55">
        <v>1000</v>
      </c>
      <c r="E55">
        <f t="shared" si="0"/>
        <v>78000</v>
      </c>
    </row>
    <row r="56" spans="1:5">
      <c r="A56" t="s">
        <v>64</v>
      </c>
      <c r="C56">
        <v>32</v>
      </c>
      <c r="D56">
        <v>4000</v>
      </c>
      <c r="E56">
        <f t="shared" si="0"/>
        <v>128000</v>
      </c>
    </row>
    <row r="57" spans="1:5">
      <c r="A57" t="s">
        <v>65</v>
      </c>
      <c r="C57">
        <v>50</v>
      </c>
      <c r="D57">
        <v>1500</v>
      </c>
      <c r="E57">
        <f t="shared" si="0"/>
        <v>75000</v>
      </c>
    </row>
    <row r="58" spans="1:5">
      <c r="A58" t="s">
        <v>57</v>
      </c>
      <c r="B58" t="s">
        <v>66</v>
      </c>
      <c r="C58">
        <v>50</v>
      </c>
      <c r="D58">
        <v>1000</v>
      </c>
      <c r="E58">
        <f t="shared" si="0"/>
        <v>50000</v>
      </c>
    </row>
    <row r="59" spans="1:5">
      <c r="B59" t="s">
        <v>67</v>
      </c>
      <c r="C59">
        <v>2</v>
      </c>
      <c r="D59">
        <v>7200</v>
      </c>
      <c r="E59">
        <f t="shared" si="0"/>
        <v>14400</v>
      </c>
    </row>
    <row r="60" spans="1:5">
      <c r="A60" t="s">
        <v>68</v>
      </c>
      <c r="C60">
        <v>90</v>
      </c>
      <c r="D60">
        <v>1500</v>
      </c>
      <c r="E60">
        <f t="shared" si="0"/>
        <v>135000</v>
      </c>
    </row>
    <row r="61" spans="1:5">
      <c r="A61" t="s">
        <v>69</v>
      </c>
      <c r="C61">
        <v>22</v>
      </c>
      <c r="D61">
        <v>3500</v>
      </c>
      <c r="E61">
        <f t="shared" si="0"/>
        <v>77000</v>
      </c>
    </row>
    <row r="62" spans="1:5">
      <c r="A62" t="s">
        <v>69</v>
      </c>
      <c r="C62">
        <v>10</v>
      </c>
      <c r="D62">
        <v>2000</v>
      </c>
      <c r="E62">
        <f t="shared" si="0"/>
        <v>20000</v>
      </c>
    </row>
    <row r="63" spans="1:5">
      <c r="A63" t="s">
        <v>70</v>
      </c>
      <c r="C63">
        <v>1450</v>
      </c>
      <c r="D63">
        <v>2000</v>
      </c>
      <c r="E63">
        <f t="shared" si="0"/>
        <v>2900000</v>
      </c>
    </row>
    <row r="64" spans="1:5">
      <c r="A64" t="s">
        <v>71</v>
      </c>
      <c r="B64">
        <v>400</v>
      </c>
      <c r="C64">
        <v>230</v>
      </c>
      <c r="D64">
        <v>7000</v>
      </c>
      <c r="E64">
        <f t="shared" si="0"/>
        <v>1610000</v>
      </c>
    </row>
    <row r="65" spans="1:5">
      <c r="B65">
        <v>200</v>
      </c>
      <c r="C65">
        <v>171</v>
      </c>
      <c r="D65">
        <v>5000</v>
      </c>
      <c r="E65">
        <f t="shared" si="0"/>
        <v>855000</v>
      </c>
    </row>
    <row r="66" spans="1:5">
      <c r="A66" t="s">
        <v>72</v>
      </c>
      <c r="B66">
        <v>250</v>
      </c>
      <c r="C66">
        <f>SUM(2*14+(5))</f>
        <v>33</v>
      </c>
      <c r="D66">
        <v>3000</v>
      </c>
      <c r="E66">
        <f t="shared" ref="E66:E129" si="1">+C66*D66</f>
        <v>99000</v>
      </c>
    </row>
    <row r="67" spans="1:5">
      <c r="B67">
        <v>500</v>
      </c>
      <c r="C67">
        <f>SUM(19*14+7)</f>
        <v>273</v>
      </c>
      <c r="D67">
        <v>5000</v>
      </c>
      <c r="E67">
        <f t="shared" si="1"/>
        <v>1365000</v>
      </c>
    </row>
    <row r="68" spans="1:5">
      <c r="A68" t="s">
        <v>73</v>
      </c>
      <c r="B68" t="s">
        <v>74</v>
      </c>
      <c r="C68">
        <f>SUM(14*14+4)</f>
        <v>200</v>
      </c>
      <c r="D68">
        <v>4000</v>
      </c>
      <c r="E68">
        <f t="shared" si="1"/>
        <v>800000</v>
      </c>
    </row>
    <row r="69" spans="1:5">
      <c r="A69" t="s">
        <v>75</v>
      </c>
      <c r="B69">
        <v>625</v>
      </c>
      <c r="C69">
        <v>1153</v>
      </c>
      <c r="D69">
        <v>5500</v>
      </c>
      <c r="E69">
        <f t="shared" si="1"/>
        <v>6341500</v>
      </c>
    </row>
    <row r="70" spans="1:5">
      <c r="A70" t="s">
        <v>76</v>
      </c>
      <c r="C70">
        <v>1</v>
      </c>
      <c r="D70">
        <v>135000</v>
      </c>
      <c r="E70">
        <f t="shared" si="1"/>
        <v>135000</v>
      </c>
    </row>
    <row r="71" spans="1:5">
      <c r="A71" t="s">
        <v>77</v>
      </c>
      <c r="B71" t="s">
        <v>78</v>
      </c>
      <c r="C71">
        <f>SUM(13*14)</f>
        <v>182</v>
      </c>
      <c r="D71">
        <v>6000</v>
      </c>
      <c r="E71">
        <f t="shared" si="1"/>
        <v>1092000</v>
      </c>
    </row>
    <row r="72" spans="1:5">
      <c r="B72" t="s">
        <v>79</v>
      </c>
      <c r="C72">
        <v>19</v>
      </c>
      <c r="D72">
        <v>4642</v>
      </c>
      <c r="E72">
        <f t="shared" si="1"/>
        <v>88198</v>
      </c>
    </row>
    <row r="73" spans="1:5">
      <c r="A73" t="s">
        <v>75</v>
      </c>
      <c r="B73">
        <v>1000</v>
      </c>
      <c r="C73">
        <v>50</v>
      </c>
      <c r="D73">
        <v>7500</v>
      </c>
      <c r="E73">
        <f t="shared" si="1"/>
        <v>375000</v>
      </c>
    </row>
    <row r="74" spans="1:5">
      <c r="A74" t="s">
        <v>80</v>
      </c>
      <c r="C74">
        <v>13</v>
      </c>
      <c r="D74">
        <v>3000</v>
      </c>
      <c r="E74">
        <f t="shared" si="1"/>
        <v>39000</v>
      </c>
    </row>
    <row r="75" spans="1:5">
      <c r="A75" t="s">
        <v>81</v>
      </c>
      <c r="B75">
        <v>120</v>
      </c>
      <c r="C75">
        <v>28</v>
      </c>
      <c r="D75">
        <v>4000</v>
      </c>
      <c r="E75">
        <f t="shared" si="1"/>
        <v>112000</v>
      </c>
    </row>
    <row r="76" spans="1:5">
      <c r="A76" t="s">
        <v>82</v>
      </c>
      <c r="B76" t="s">
        <v>83</v>
      </c>
      <c r="C76">
        <v>28</v>
      </c>
      <c r="D76">
        <v>8000</v>
      </c>
      <c r="E76">
        <f t="shared" si="1"/>
        <v>224000</v>
      </c>
    </row>
    <row r="77" spans="1:5">
      <c r="A77" t="s">
        <v>84</v>
      </c>
      <c r="C77">
        <v>100</v>
      </c>
      <c r="D77">
        <v>2000</v>
      </c>
      <c r="E77">
        <f t="shared" si="1"/>
        <v>200000</v>
      </c>
    </row>
    <row r="78" spans="1:5">
      <c r="A78" t="s">
        <v>85</v>
      </c>
      <c r="C78">
        <v>360</v>
      </c>
      <c r="D78">
        <v>2000</v>
      </c>
      <c r="E78">
        <f t="shared" si="1"/>
        <v>720000</v>
      </c>
    </row>
    <row r="79" spans="1:5">
      <c r="A79" t="s">
        <v>86</v>
      </c>
      <c r="C79">
        <v>98</v>
      </c>
      <c r="D79">
        <v>4000</v>
      </c>
      <c r="E79">
        <f t="shared" si="1"/>
        <v>392000</v>
      </c>
    </row>
    <row r="80" spans="1:5">
      <c r="A80" t="s">
        <v>87</v>
      </c>
      <c r="B80" t="s">
        <v>88</v>
      </c>
      <c r="C80">
        <v>73</v>
      </c>
      <c r="D80">
        <v>2000</v>
      </c>
      <c r="E80">
        <f t="shared" si="1"/>
        <v>146000</v>
      </c>
    </row>
    <row r="81" spans="1:5">
      <c r="A81" t="s">
        <v>89</v>
      </c>
      <c r="C81">
        <f>SUM(8*5+(20)+(11))*30+5</f>
        <v>2135</v>
      </c>
      <c r="D81">
        <v>2000</v>
      </c>
      <c r="E81">
        <f t="shared" si="1"/>
        <v>4270000</v>
      </c>
    </row>
    <row r="82" spans="1:5">
      <c r="A82" t="s">
        <v>90</v>
      </c>
      <c r="B82" t="s">
        <v>91</v>
      </c>
      <c r="C82">
        <v>9</v>
      </c>
      <c r="D82">
        <v>10000</v>
      </c>
      <c r="E82">
        <f t="shared" si="1"/>
        <v>90000</v>
      </c>
    </row>
    <row r="83" spans="1:5">
      <c r="B83" t="s">
        <v>92</v>
      </c>
      <c r="C83">
        <v>31</v>
      </c>
      <c r="D83">
        <v>1500</v>
      </c>
      <c r="E83">
        <f t="shared" si="1"/>
        <v>46500</v>
      </c>
    </row>
    <row r="84" spans="1:5">
      <c r="A84" t="s">
        <v>93</v>
      </c>
      <c r="C84">
        <v>100</v>
      </c>
      <c r="D84">
        <v>2000</v>
      </c>
      <c r="E84">
        <f t="shared" si="1"/>
        <v>200000</v>
      </c>
    </row>
    <row r="85" spans="1:5">
      <c r="A85" t="s">
        <v>82</v>
      </c>
      <c r="B85" t="s">
        <v>94</v>
      </c>
      <c r="C85">
        <v>28</v>
      </c>
      <c r="D85">
        <v>8000</v>
      </c>
      <c r="E85">
        <f t="shared" si="1"/>
        <v>224000</v>
      </c>
    </row>
    <row r="86" spans="1:5">
      <c r="A86" t="s">
        <v>95</v>
      </c>
      <c r="C86">
        <v>15</v>
      </c>
      <c r="D86">
        <v>9000</v>
      </c>
      <c r="E86">
        <f t="shared" si="1"/>
        <v>135000</v>
      </c>
    </row>
    <row r="87" spans="1:5">
      <c r="A87" t="s">
        <v>96</v>
      </c>
      <c r="B87" t="s">
        <v>97</v>
      </c>
      <c r="C87">
        <v>28</v>
      </c>
      <c r="D87">
        <v>4000</v>
      </c>
      <c r="E87">
        <f t="shared" si="1"/>
        <v>112000</v>
      </c>
    </row>
    <row r="88" spans="1:5">
      <c r="A88" t="s">
        <v>98</v>
      </c>
      <c r="C88">
        <f>980+SUM(35)</f>
        <v>1015</v>
      </c>
      <c r="D88">
        <v>500</v>
      </c>
      <c r="E88">
        <f t="shared" si="1"/>
        <v>507500</v>
      </c>
    </row>
    <row r="89" spans="1:5">
      <c r="A89" t="s">
        <v>99</v>
      </c>
      <c r="C89">
        <v>20</v>
      </c>
      <c r="D89">
        <v>26000</v>
      </c>
      <c r="E89">
        <f t="shared" si="1"/>
        <v>520000</v>
      </c>
    </row>
    <row r="90" spans="1:5">
      <c r="A90" t="s">
        <v>100</v>
      </c>
      <c r="B90" t="s">
        <v>101</v>
      </c>
      <c r="C90">
        <v>2</v>
      </c>
      <c r="D90">
        <v>65000</v>
      </c>
      <c r="E90">
        <f t="shared" si="1"/>
        <v>130000</v>
      </c>
    </row>
    <row r="91" spans="1:5">
      <c r="B91" t="s">
        <v>102</v>
      </c>
      <c r="C91">
        <v>10</v>
      </c>
      <c r="D91">
        <v>55000</v>
      </c>
      <c r="E91">
        <f t="shared" si="1"/>
        <v>550000</v>
      </c>
    </row>
    <row r="92" spans="1:5">
      <c r="A92" t="s">
        <v>103</v>
      </c>
      <c r="C92">
        <v>3</v>
      </c>
      <c r="D92">
        <v>50000</v>
      </c>
      <c r="E92">
        <f t="shared" si="1"/>
        <v>150000</v>
      </c>
    </row>
    <row r="93" spans="1:5">
      <c r="A93" t="s">
        <v>104</v>
      </c>
      <c r="C93">
        <v>2</v>
      </c>
      <c r="D93">
        <v>70000</v>
      </c>
      <c r="E93">
        <f t="shared" si="1"/>
        <v>140000</v>
      </c>
    </row>
    <row r="94" spans="1:5">
      <c r="A94" t="s">
        <v>105</v>
      </c>
      <c r="C94">
        <v>1</v>
      </c>
      <c r="D94">
        <v>250000</v>
      </c>
      <c r="E94">
        <f t="shared" si="1"/>
        <v>250000</v>
      </c>
    </row>
    <row r="95" spans="1:5">
      <c r="A95" t="s">
        <v>106</v>
      </c>
      <c r="C95">
        <v>1</v>
      </c>
      <c r="D95">
        <v>30000</v>
      </c>
      <c r="E95">
        <f t="shared" si="1"/>
        <v>30000</v>
      </c>
    </row>
    <row r="96" spans="1:5">
      <c r="A96" t="s">
        <v>107</v>
      </c>
      <c r="C96">
        <v>5</v>
      </c>
      <c r="D96">
        <v>46000</v>
      </c>
      <c r="E96">
        <f t="shared" si="1"/>
        <v>230000</v>
      </c>
    </row>
    <row r="97" spans="1:5">
      <c r="A97" t="s">
        <v>108</v>
      </c>
      <c r="C97">
        <v>2</v>
      </c>
      <c r="D97">
        <v>34000</v>
      </c>
      <c r="E97">
        <f t="shared" si="1"/>
        <v>68000</v>
      </c>
    </row>
    <row r="98" spans="1:5">
      <c r="A98" t="s">
        <v>109</v>
      </c>
      <c r="C98">
        <v>3</v>
      </c>
      <c r="D98">
        <v>32000</v>
      </c>
      <c r="E98">
        <f t="shared" si="1"/>
        <v>96000</v>
      </c>
    </row>
    <row r="99" spans="1:5">
      <c r="A99" t="s">
        <v>110</v>
      </c>
      <c r="C99">
        <v>1</v>
      </c>
      <c r="D99">
        <v>22000</v>
      </c>
      <c r="E99">
        <f t="shared" si="1"/>
        <v>22000</v>
      </c>
    </row>
    <row r="100" spans="1:5">
      <c r="A100" t="s">
        <v>111</v>
      </c>
      <c r="C100">
        <v>1</v>
      </c>
      <c r="D100">
        <v>46000</v>
      </c>
      <c r="E100">
        <f t="shared" si="1"/>
        <v>46000</v>
      </c>
    </row>
    <row r="101" spans="1:5">
      <c r="C101">
        <v>4</v>
      </c>
      <c r="D101">
        <v>33000</v>
      </c>
      <c r="E101">
        <f t="shared" si="1"/>
        <v>132000</v>
      </c>
    </row>
    <row r="102" spans="1:5">
      <c r="A102" t="s">
        <v>112</v>
      </c>
      <c r="B102">
        <v>5</v>
      </c>
      <c r="C102">
        <v>45</v>
      </c>
      <c r="D102">
        <v>500</v>
      </c>
      <c r="E102">
        <f t="shared" si="1"/>
        <v>22500</v>
      </c>
    </row>
    <row r="103" spans="1:5">
      <c r="B103">
        <v>100</v>
      </c>
      <c r="C103">
        <v>1</v>
      </c>
      <c r="D103">
        <v>1000</v>
      </c>
      <c r="E103">
        <f t="shared" si="1"/>
        <v>1000</v>
      </c>
    </row>
    <row r="104" spans="1:5">
      <c r="A104" t="s">
        <v>113</v>
      </c>
      <c r="C104">
        <v>41</v>
      </c>
      <c r="D104">
        <v>2000</v>
      </c>
      <c r="E104">
        <f t="shared" si="1"/>
        <v>82000</v>
      </c>
    </row>
    <row r="105" spans="1:5">
      <c r="A105" t="s">
        <v>114</v>
      </c>
      <c r="B105">
        <v>2</v>
      </c>
      <c r="C105">
        <v>55</v>
      </c>
      <c r="D105">
        <v>7600</v>
      </c>
      <c r="E105">
        <f t="shared" si="1"/>
        <v>418000</v>
      </c>
    </row>
    <row r="106" spans="1:5">
      <c r="B106">
        <v>5</v>
      </c>
      <c r="C106">
        <v>20</v>
      </c>
      <c r="D106">
        <v>8000</v>
      </c>
      <c r="E106">
        <f t="shared" si="1"/>
        <v>160000</v>
      </c>
    </row>
    <row r="107" spans="1:5">
      <c r="A107" t="s">
        <v>115</v>
      </c>
      <c r="C107">
        <v>10</v>
      </c>
      <c r="D107">
        <v>62000</v>
      </c>
      <c r="E107">
        <f t="shared" si="1"/>
        <v>620000</v>
      </c>
    </row>
    <row r="108" spans="1:5">
      <c r="C108">
        <v>5</v>
      </c>
      <c r="D108">
        <v>112000</v>
      </c>
      <c r="E108">
        <f t="shared" si="1"/>
        <v>560000</v>
      </c>
    </row>
    <row r="109" spans="1:5">
      <c r="A109" t="s">
        <v>116</v>
      </c>
      <c r="C109">
        <v>1</v>
      </c>
      <c r="D109">
        <v>260000</v>
      </c>
      <c r="E109">
        <f t="shared" si="1"/>
        <v>260000</v>
      </c>
    </row>
    <row r="110" spans="1:5">
      <c r="A110" t="s">
        <v>117</v>
      </c>
      <c r="C110">
        <v>7</v>
      </c>
      <c r="D110">
        <v>40000</v>
      </c>
      <c r="E110">
        <f t="shared" si="1"/>
        <v>280000</v>
      </c>
    </row>
    <row r="111" spans="1:5">
      <c r="A111" t="s">
        <v>118</v>
      </c>
      <c r="C111">
        <v>31</v>
      </c>
      <c r="D111">
        <v>21000</v>
      </c>
      <c r="E111">
        <f t="shared" si="1"/>
        <v>651000</v>
      </c>
    </row>
    <row r="112" spans="1:5">
      <c r="A112" t="s">
        <v>119</v>
      </c>
      <c r="C112">
        <v>113</v>
      </c>
      <c r="D112">
        <v>2000</v>
      </c>
      <c r="E112">
        <f t="shared" si="1"/>
        <v>226000</v>
      </c>
    </row>
    <row r="113" spans="1:5">
      <c r="A113" t="s">
        <v>120</v>
      </c>
      <c r="C113">
        <v>1</v>
      </c>
      <c r="D113">
        <v>130000</v>
      </c>
      <c r="E113">
        <f t="shared" si="1"/>
        <v>130000</v>
      </c>
    </row>
    <row r="114" spans="1:5">
      <c r="A114" t="s">
        <v>121</v>
      </c>
      <c r="C114">
        <v>262</v>
      </c>
      <c r="D114">
        <v>1000</v>
      </c>
      <c r="E114">
        <f t="shared" si="1"/>
        <v>262000</v>
      </c>
    </row>
    <row r="115" spans="1:5">
      <c r="A115" t="s">
        <v>122</v>
      </c>
      <c r="C115">
        <v>77</v>
      </c>
      <c r="D115">
        <v>6000</v>
      </c>
      <c r="E115">
        <f t="shared" si="1"/>
        <v>462000</v>
      </c>
    </row>
    <row r="116" spans="1:5">
      <c r="A116" t="s">
        <v>123</v>
      </c>
      <c r="C116">
        <v>5</v>
      </c>
      <c r="D116">
        <v>9000</v>
      </c>
      <c r="E116">
        <f t="shared" si="1"/>
        <v>45000</v>
      </c>
    </row>
    <row r="117" spans="1:5">
      <c r="A117" t="s">
        <v>124</v>
      </c>
      <c r="C117">
        <v>70</v>
      </c>
      <c r="D117">
        <v>1000</v>
      </c>
      <c r="E117">
        <f t="shared" si="1"/>
        <v>70000</v>
      </c>
    </row>
    <row r="118" spans="1:5">
      <c r="A118" t="s">
        <v>125</v>
      </c>
      <c r="C118">
        <v>40</v>
      </c>
      <c r="D118">
        <v>1000</v>
      </c>
      <c r="E118">
        <f t="shared" si="1"/>
        <v>40000</v>
      </c>
    </row>
    <row r="119" spans="1:5">
      <c r="A119" t="s">
        <v>126</v>
      </c>
      <c r="C119">
        <v>15</v>
      </c>
      <c r="D119">
        <v>4000</v>
      </c>
      <c r="E119">
        <f t="shared" si="1"/>
        <v>60000</v>
      </c>
    </row>
    <row r="120" spans="1:5">
      <c r="A120" t="s">
        <v>127</v>
      </c>
      <c r="C120">
        <v>10</v>
      </c>
      <c r="D120">
        <v>14000</v>
      </c>
      <c r="E120">
        <f t="shared" si="1"/>
        <v>140000</v>
      </c>
    </row>
    <row r="121" spans="1:5">
      <c r="A121" t="s">
        <v>128</v>
      </c>
      <c r="C121">
        <v>102</v>
      </c>
      <c r="D121">
        <v>2000</v>
      </c>
      <c r="E121">
        <f t="shared" si="1"/>
        <v>204000</v>
      </c>
    </row>
    <row r="122" spans="1:5">
      <c r="A122" t="s">
        <v>129</v>
      </c>
      <c r="C122">
        <v>50</v>
      </c>
      <c r="D122">
        <v>2000</v>
      </c>
      <c r="E122">
        <f t="shared" si="1"/>
        <v>100000</v>
      </c>
    </row>
    <row r="123" spans="1:5">
      <c r="A123" t="s">
        <v>130</v>
      </c>
      <c r="C123">
        <v>16</v>
      </c>
      <c r="D123">
        <v>1500</v>
      </c>
      <c r="E123">
        <f t="shared" si="1"/>
        <v>24000</v>
      </c>
    </row>
    <row r="124" spans="1:5">
      <c r="A124" t="s">
        <v>131</v>
      </c>
      <c r="C124">
        <v>7</v>
      </c>
      <c r="D124">
        <v>2000</v>
      </c>
      <c r="E124">
        <f t="shared" si="1"/>
        <v>14000</v>
      </c>
    </row>
    <row r="125" spans="1:5">
      <c r="A125" t="s">
        <v>132</v>
      </c>
      <c r="C125">
        <v>8</v>
      </c>
      <c r="D125">
        <v>7000</v>
      </c>
      <c r="E125">
        <f t="shared" si="1"/>
        <v>56000</v>
      </c>
    </row>
    <row r="126" spans="1:5">
      <c r="A126" t="s">
        <v>133</v>
      </c>
      <c r="C126">
        <v>74</v>
      </c>
      <c r="D126">
        <v>1000</v>
      </c>
      <c r="E126">
        <f t="shared" si="1"/>
        <v>74000</v>
      </c>
    </row>
    <row r="127" spans="1:5">
      <c r="A127" t="s">
        <v>134</v>
      </c>
      <c r="C127">
        <v>35</v>
      </c>
      <c r="D127">
        <v>700</v>
      </c>
      <c r="E127">
        <f t="shared" si="1"/>
        <v>24500</v>
      </c>
    </row>
    <row r="128" spans="1:5">
      <c r="A128" t="s">
        <v>135</v>
      </c>
      <c r="C128">
        <v>41</v>
      </c>
      <c r="D128">
        <v>560</v>
      </c>
      <c r="E128">
        <f t="shared" si="1"/>
        <v>22960</v>
      </c>
    </row>
    <row r="129" spans="1:5">
      <c r="A129" t="s">
        <v>136</v>
      </c>
      <c r="C129">
        <v>47</v>
      </c>
      <c r="D129" s="3">
        <v>1120</v>
      </c>
      <c r="E129">
        <f t="shared" si="1"/>
        <v>52640</v>
      </c>
    </row>
    <row r="130" spans="1:5">
      <c r="A130" t="s">
        <v>137</v>
      </c>
      <c r="C130">
        <v>1</v>
      </c>
      <c r="D130">
        <v>32000</v>
      </c>
      <c r="E130">
        <f t="shared" ref="E130:E179" si="2">+C130*D130</f>
        <v>32000</v>
      </c>
    </row>
    <row r="131" spans="1:5">
      <c r="A131" t="s">
        <v>138</v>
      </c>
      <c r="C131">
        <v>8</v>
      </c>
      <c r="D131">
        <v>43000</v>
      </c>
      <c r="E131">
        <f t="shared" si="2"/>
        <v>344000</v>
      </c>
    </row>
    <row r="132" spans="1:5">
      <c r="A132" t="s">
        <v>139</v>
      </c>
      <c r="C132">
        <v>2</v>
      </c>
      <c r="D132">
        <v>55000</v>
      </c>
      <c r="E132">
        <f t="shared" si="2"/>
        <v>110000</v>
      </c>
    </row>
    <row r="133" spans="1:5">
      <c r="C133">
        <v>6</v>
      </c>
      <c r="D133">
        <v>20000</v>
      </c>
      <c r="E133">
        <f t="shared" si="2"/>
        <v>120000</v>
      </c>
    </row>
    <row r="134" spans="1:5">
      <c r="A134" t="s">
        <v>140</v>
      </c>
      <c r="C134">
        <v>5</v>
      </c>
      <c r="D134">
        <v>56000</v>
      </c>
      <c r="E134">
        <f t="shared" si="2"/>
        <v>280000</v>
      </c>
    </row>
    <row r="135" spans="1:5">
      <c r="C135">
        <v>26</v>
      </c>
      <c r="D135">
        <v>2000</v>
      </c>
      <c r="E135">
        <f t="shared" si="2"/>
        <v>52000</v>
      </c>
    </row>
    <row r="136" spans="1:5">
      <c r="C136">
        <v>1</v>
      </c>
      <c r="D136">
        <v>10000</v>
      </c>
      <c r="E136">
        <f t="shared" si="2"/>
        <v>10000</v>
      </c>
    </row>
    <row r="137" spans="1:5">
      <c r="C137">
        <v>30</v>
      </c>
      <c r="D137">
        <v>10000</v>
      </c>
      <c r="E137">
        <f t="shared" si="2"/>
        <v>300000</v>
      </c>
    </row>
    <row r="138" spans="1:5">
      <c r="C138">
        <v>1</v>
      </c>
      <c r="D138">
        <v>5000</v>
      </c>
      <c r="E138">
        <f t="shared" si="2"/>
        <v>5000</v>
      </c>
    </row>
    <row r="139" spans="1:5">
      <c r="C139">
        <v>10</v>
      </c>
      <c r="D139">
        <v>8000</v>
      </c>
      <c r="E139">
        <f t="shared" si="2"/>
        <v>80000</v>
      </c>
    </row>
    <row r="140" spans="1:5">
      <c r="A140" t="s">
        <v>141</v>
      </c>
      <c r="C140">
        <v>33</v>
      </c>
      <c r="D140">
        <v>10000</v>
      </c>
      <c r="E140">
        <f t="shared" si="2"/>
        <v>330000</v>
      </c>
    </row>
    <row r="141" spans="1:5">
      <c r="A141" t="s">
        <v>142</v>
      </c>
      <c r="C141">
        <v>11</v>
      </c>
      <c r="D141">
        <v>60000</v>
      </c>
      <c r="E141">
        <f t="shared" si="2"/>
        <v>660000</v>
      </c>
    </row>
    <row r="142" spans="1:5">
      <c r="A142" t="s">
        <v>143</v>
      </c>
      <c r="C142">
        <v>20</v>
      </c>
      <c r="D142">
        <v>2000</v>
      </c>
      <c r="E142">
        <f t="shared" si="2"/>
        <v>40000</v>
      </c>
    </row>
    <row r="143" spans="1:5">
      <c r="A143" t="s">
        <v>144</v>
      </c>
      <c r="C143">
        <v>10</v>
      </c>
      <c r="D143">
        <v>26000</v>
      </c>
      <c r="E143">
        <f t="shared" si="2"/>
        <v>260000</v>
      </c>
    </row>
    <row r="144" spans="1:5">
      <c r="A144" t="s">
        <v>145</v>
      </c>
      <c r="C144">
        <v>5</v>
      </c>
      <c r="D144">
        <v>77000</v>
      </c>
      <c r="E144">
        <f t="shared" si="2"/>
        <v>385000</v>
      </c>
    </row>
    <row r="145" spans="1:5">
      <c r="A145" t="s">
        <v>146</v>
      </c>
      <c r="C145">
        <v>2</v>
      </c>
      <c r="D145">
        <v>57000</v>
      </c>
      <c r="E145">
        <f t="shared" si="2"/>
        <v>114000</v>
      </c>
    </row>
    <row r="146" spans="1:5">
      <c r="C146">
        <v>1</v>
      </c>
      <c r="D146">
        <v>85000</v>
      </c>
      <c r="E146">
        <f t="shared" si="2"/>
        <v>85000</v>
      </c>
    </row>
    <row r="147" spans="1:5">
      <c r="C147">
        <v>16</v>
      </c>
      <c r="D147">
        <v>45000</v>
      </c>
      <c r="E147">
        <f t="shared" si="2"/>
        <v>720000</v>
      </c>
    </row>
    <row r="148" spans="1:5">
      <c r="C148">
        <v>14</v>
      </c>
      <c r="D148">
        <v>80000</v>
      </c>
      <c r="E148">
        <f t="shared" si="2"/>
        <v>1120000</v>
      </c>
    </row>
    <row r="149" spans="1:5">
      <c r="C149">
        <v>22</v>
      </c>
      <c r="D149">
        <v>19000</v>
      </c>
      <c r="E149">
        <f t="shared" si="2"/>
        <v>418000</v>
      </c>
    </row>
    <row r="150" spans="1:5">
      <c r="C150">
        <v>10</v>
      </c>
      <c r="D150">
        <v>68000</v>
      </c>
      <c r="E150">
        <f t="shared" si="2"/>
        <v>680000</v>
      </c>
    </row>
    <row r="151" spans="1:5">
      <c r="C151">
        <v>11</v>
      </c>
      <c r="D151">
        <v>94000</v>
      </c>
      <c r="E151">
        <f t="shared" si="2"/>
        <v>1034000</v>
      </c>
    </row>
    <row r="152" spans="1:5">
      <c r="C152">
        <v>17</v>
      </c>
      <c r="D152">
        <v>2000</v>
      </c>
      <c r="E152">
        <f t="shared" si="2"/>
        <v>34000</v>
      </c>
    </row>
    <row r="153" spans="1:5">
      <c r="C153">
        <v>37</v>
      </c>
      <c r="D153">
        <v>2000</v>
      </c>
      <c r="E153">
        <f t="shared" si="2"/>
        <v>74000</v>
      </c>
    </row>
    <row r="154" spans="1:5">
      <c r="C154">
        <v>23</v>
      </c>
      <c r="D154">
        <v>2000</v>
      </c>
      <c r="E154">
        <f t="shared" si="2"/>
        <v>46000</v>
      </c>
    </row>
    <row r="155" spans="1:5">
      <c r="C155">
        <v>9</v>
      </c>
      <c r="D155">
        <v>2000</v>
      </c>
      <c r="E155">
        <f t="shared" si="2"/>
        <v>18000</v>
      </c>
    </row>
    <row r="156" spans="1:5">
      <c r="C156">
        <v>6</v>
      </c>
      <c r="D156">
        <v>4000</v>
      </c>
      <c r="E156">
        <f t="shared" si="2"/>
        <v>24000</v>
      </c>
    </row>
    <row r="157" spans="1:5">
      <c r="C157">
        <v>82</v>
      </c>
      <c r="D157">
        <v>2000</v>
      </c>
      <c r="E157">
        <f t="shared" si="2"/>
        <v>164000</v>
      </c>
    </row>
    <row r="158" spans="1:5">
      <c r="C158">
        <v>12</v>
      </c>
      <c r="D158">
        <v>1000</v>
      </c>
      <c r="E158">
        <f t="shared" si="2"/>
        <v>12000</v>
      </c>
    </row>
    <row r="159" spans="1:5">
      <c r="C159">
        <v>75</v>
      </c>
      <c r="D159">
        <v>2000</v>
      </c>
      <c r="E159">
        <f t="shared" si="2"/>
        <v>150000</v>
      </c>
    </row>
    <row r="160" spans="1:5">
      <c r="C160">
        <v>140</v>
      </c>
      <c r="D160">
        <v>2500</v>
      </c>
      <c r="E160">
        <f t="shared" si="2"/>
        <v>350000</v>
      </c>
    </row>
    <row r="161" spans="3:5">
      <c r="C161">
        <f>SUM(69*5)</f>
        <v>345</v>
      </c>
      <c r="D161">
        <v>500</v>
      </c>
      <c r="E161">
        <f t="shared" si="2"/>
        <v>172500</v>
      </c>
    </row>
    <row r="162" spans="3:5">
      <c r="C162">
        <v>100</v>
      </c>
      <c r="D162">
        <v>1000</v>
      </c>
      <c r="E162">
        <f t="shared" si="2"/>
        <v>100000</v>
      </c>
    </row>
    <row r="163" spans="3:5">
      <c r="C163">
        <v>75</v>
      </c>
      <c r="D163">
        <v>1500</v>
      </c>
      <c r="E163">
        <f t="shared" si="2"/>
        <v>112500</v>
      </c>
    </row>
    <row r="164" spans="3:5">
      <c r="C164">
        <v>33</v>
      </c>
      <c r="D164">
        <v>1600</v>
      </c>
      <c r="E164">
        <f t="shared" si="2"/>
        <v>52800</v>
      </c>
    </row>
    <row r="165" spans="3:5">
      <c r="C165">
        <v>40</v>
      </c>
      <c r="D165">
        <v>96000</v>
      </c>
      <c r="E165">
        <f t="shared" si="2"/>
        <v>3840000</v>
      </c>
    </row>
    <row r="166" spans="3:5">
      <c r="C166">
        <v>88</v>
      </c>
      <c r="D166">
        <v>1000</v>
      </c>
      <c r="E166">
        <f t="shared" si="2"/>
        <v>88000</v>
      </c>
    </row>
    <row r="167" spans="3:5">
      <c r="C167">
        <v>30</v>
      </c>
      <c r="D167">
        <v>3500</v>
      </c>
      <c r="E167">
        <f t="shared" si="2"/>
        <v>105000</v>
      </c>
    </row>
    <row r="168" spans="3:5">
      <c r="C168">
        <v>17</v>
      </c>
      <c r="D168">
        <v>10000</v>
      </c>
      <c r="E168">
        <f t="shared" si="2"/>
        <v>170000</v>
      </c>
    </row>
    <row r="169" spans="3:5">
      <c r="C169">
        <v>252</v>
      </c>
      <c r="D169">
        <v>700</v>
      </c>
      <c r="E169">
        <f t="shared" si="2"/>
        <v>176400</v>
      </c>
    </row>
    <row r="170" spans="3:5">
      <c r="C170">
        <v>50</v>
      </c>
      <c r="D170">
        <v>2500</v>
      </c>
      <c r="E170">
        <f t="shared" si="2"/>
        <v>125000</v>
      </c>
    </row>
    <row r="171" spans="3:5">
      <c r="C171">
        <v>13</v>
      </c>
      <c r="D171">
        <v>4400</v>
      </c>
      <c r="E171">
        <f t="shared" si="2"/>
        <v>57200</v>
      </c>
    </row>
    <row r="172" spans="3:5">
      <c r="C172">
        <v>19</v>
      </c>
      <c r="D172">
        <v>1000</v>
      </c>
      <c r="E172">
        <f t="shared" si="2"/>
        <v>19000</v>
      </c>
    </row>
    <row r="173" spans="3:5">
      <c r="C173">
        <v>6</v>
      </c>
      <c r="D173">
        <v>3500</v>
      </c>
      <c r="E173">
        <f t="shared" si="2"/>
        <v>21000</v>
      </c>
    </row>
    <row r="174" spans="3:5">
      <c r="C174">
        <v>44</v>
      </c>
      <c r="D174">
        <v>700</v>
      </c>
      <c r="E174">
        <f t="shared" si="2"/>
        <v>30800</v>
      </c>
    </row>
    <row r="175" spans="3:5">
      <c r="C175">
        <v>150</v>
      </c>
      <c r="D175">
        <v>1200</v>
      </c>
      <c r="E175">
        <f t="shared" si="2"/>
        <v>180000</v>
      </c>
    </row>
    <row r="176" spans="3:5">
      <c r="C176">
        <v>12</v>
      </c>
      <c r="D176">
        <v>2000</v>
      </c>
      <c r="E176">
        <f t="shared" si="2"/>
        <v>24000</v>
      </c>
    </row>
    <row r="177" spans="3:5">
      <c r="C177">
        <v>1</v>
      </c>
      <c r="D177">
        <v>1500</v>
      </c>
      <c r="E177">
        <f t="shared" si="2"/>
        <v>1500</v>
      </c>
    </row>
    <row r="178" spans="3:5">
      <c r="C178">
        <v>9</v>
      </c>
      <c r="D178">
        <v>1500</v>
      </c>
      <c r="E178">
        <f t="shared" si="2"/>
        <v>13500</v>
      </c>
    </row>
    <row r="179" spans="3:5">
      <c r="C179">
        <v>2</v>
      </c>
      <c r="D179">
        <v>2500</v>
      </c>
      <c r="E179">
        <f t="shared" si="2"/>
        <v>5000</v>
      </c>
    </row>
    <row r="183" spans="3:5">
      <c r="E183">
        <f>SUM(E2:E182)</f>
        <v>60568798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Dorilar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WPS_1774854506</cp:lastModifiedBy>
  <dcterms:created xsi:type="dcterms:W3CDTF">2026-05-27T13:55:00Z</dcterms:created>
  <dcterms:modified xsi:type="dcterms:W3CDTF">2026-05-28T13:39:17Z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501CFBC944CB41D48A2A83777A2C5B00_13</vt:lpwstr>
  </property>
  <property fmtid="{D5CDD505-2E9C-101B-9397-08002B2CF9AE}" pid="3" name="KSOProductBuildVer">
    <vt:lpwstr>1049-12.1.0.26372</vt:lpwstr>
  </property>
  <property fmtid="{D5CDD505-2E9C-101B-9397-08002B2CF9AE}" pid="4" name="CalculationRule">
    <vt:i4>0</vt:i4>
  </property>
</Properties>
</file>